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Oikfs1\t\ДС\Рынок мощности\Аттестация 2025\"/>
    </mc:Choice>
  </mc:AlternateContent>
  <xr:revisionPtr revIDLastSave="0" documentId="13_ncr:1_{C55E826F-6449-4839-96CE-B311F138B36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Лист1" sheetId="1" r:id="rId1"/>
  </sheets>
  <definedNames>
    <definedName name="_xlnm._FilterDatabase" localSheetId="0" hidden="1">Лист1!$A$2:$I$55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I55" i="1"/>
  <c r="H55" i="1"/>
  <c r="G55" i="1"/>
  <c r="F55" i="1"/>
  <c r="D55" i="1"/>
  <c r="J55" i="1"/>
</calcChain>
</file>

<file path=xl/sharedStrings.xml><?xml version="1.0" encoding="utf-8"?>
<sst xmlns="http://schemas.openxmlformats.org/spreadsheetml/2006/main" count="146" uniqueCount="105">
  <si>
    <t>№</t>
  </si>
  <si>
    <t>Наименование ЭПО</t>
  </si>
  <si>
    <t>Наименование электрических станций</t>
  </si>
  <si>
    <t>Аттестованная мощность, МВт</t>
  </si>
  <si>
    <t>в т.ч. в рамках инвест. соглашений</t>
  </si>
  <si>
    <t>Аттестованная скорость увеличения, МВт/мин</t>
  </si>
  <si>
    <t>Аттестованная скорость уменьшения, МВт/мин</t>
  </si>
  <si>
    <t>СН по результатам аттестации, МВт</t>
  </si>
  <si>
    <t>Техминимум по результатам аттестации, МВт</t>
  </si>
  <si>
    <t>Актобе ТЭЦ</t>
  </si>
  <si>
    <t>-</t>
  </si>
  <si>
    <t>МГЭС</t>
  </si>
  <si>
    <t>ТОО "Усть-Каменогорская ТЭЦ"</t>
  </si>
  <si>
    <t>АО "Павлодарэнерго"</t>
  </si>
  <si>
    <t>ПТЭЦ-3</t>
  </si>
  <si>
    <t>ЖГТЭС</t>
  </si>
  <si>
    <t>УГТЭС</t>
  </si>
  <si>
    <t>АТЭЦ-1</t>
  </si>
  <si>
    <t>АТЭЦ-2</t>
  </si>
  <si>
    <t>АТЭЦ-3</t>
  </si>
  <si>
    <t>КапГЭС</t>
  </si>
  <si>
    <t>ТОО "Текелийский энергокомплекс"</t>
  </si>
  <si>
    <t>ППТЭЦ-2</t>
  </si>
  <si>
    <t>КарТЭЦ-3</t>
  </si>
  <si>
    <t>КарТЭЦ-1</t>
  </si>
  <si>
    <t>ТОО "Батыс Пауэр"</t>
  </si>
  <si>
    <t>ГТЭС Акшабулак</t>
  </si>
  <si>
    <t>ТОО "Согринская ТЭЦ"</t>
  </si>
  <si>
    <t>Согринская ТЭЦ</t>
  </si>
  <si>
    <t>ТОО "АЭС Усть-Каменогорская ГЭС"</t>
  </si>
  <si>
    <t>ТОО "АЭС Шульбинская ГЭС"</t>
  </si>
  <si>
    <t>ШГЭС</t>
  </si>
  <si>
    <t>ГКП "Кызылордатеплоэлектроцентр"</t>
  </si>
  <si>
    <t>ТОО "Уральская газотурбинная электростанция"</t>
  </si>
  <si>
    <t>ГТЭС-200</t>
  </si>
  <si>
    <t>АО "Мойнакская ГЭС им.У.Д.Кантаева"</t>
  </si>
  <si>
    <t>ТОО "Жанажолская ГТЭС"</t>
  </si>
  <si>
    <t>АО "Севказэнерго"</t>
  </si>
  <si>
    <t>АО "Кристалл Менеджмент"</t>
  </si>
  <si>
    <t>ТОО "Актобе ТЭЦ"</t>
  </si>
  <si>
    <t>ПТЭЦ-2</t>
  </si>
  <si>
    <t>Текелийская ТЭЦ-2</t>
  </si>
  <si>
    <t>УКГЭС</t>
  </si>
  <si>
    <t>УКТЭЦ</t>
  </si>
  <si>
    <t>КТЭЦ-6, КГТЭС</t>
  </si>
  <si>
    <t>ТОО "Карагандаэнергоцентр"</t>
  </si>
  <si>
    <t>ТОО "Karabatan Utility Solutions"</t>
  </si>
  <si>
    <t>ПГТЭС КУС</t>
  </si>
  <si>
    <t>Итого:</t>
  </si>
  <si>
    <t>ТОО "Казцинк"</t>
  </si>
  <si>
    <t>БГЭС</t>
  </si>
  <si>
    <t>АО "Атырауская ТЭЦ"</t>
  </si>
  <si>
    <t>АТЭЦ</t>
  </si>
  <si>
    <t>КГРЭС-1</t>
  </si>
  <si>
    <t>ШТЭЦ-3</t>
  </si>
  <si>
    <t>АО "Таразэнергоцентр"</t>
  </si>
  <si>
    <t>ЖТЭЦ-4</t>
  </si>
  <si>
    <t>АО "3-Энергоорталык"</t>
  </si>
  <si>
    <t>АО "Евроазиатская энергетическая корпорация"</t>
  </si>
  <si>
    <t>ЕЭК</t>
  </si>
  <si>
    <t>ПТЭЦ-1</t>
  </si>
  <si>
    <t>АО "Алюминий Казахстана"</t>
  </si>
  <si>
    <t>ТОО "МАЭК Казатомпром"</t>
  </si>
  <si>
    <t>ТЭЦ-1</t>
  </si>
  <si>
    <t>ТЭЦ-2</t>
  </si>
  <si>
    <t>ТЭС</t>
  </si>
  <si>
    <t>АО "Шардаринская ГЭС"</t>
  </si>
  <si>
    <t>ШарГЭС</t>
  </si>
  <si>
    <t>ТОО "Степногорская ТЭЦ"</t>
  </si>
  <si>
    <t>Степногорская ТЭЦ</t>
  </si>
  <si>
    <t>АО "Астана Энергия"</t>
  </si>
  <si>
    <t>АкмТЭЦ2</t>
  </si>
  <si>
    <t>ТОО "Kazakhmys energy"</t>
  </si>
  <si>
    <t>ЖТЭЦ</t>
  </si>
  <si>
    <t>БТЭЦ</t>
  </si>
  <si>
    <t>ТОО "ГРЭС Топар"</t>
  </si>
  <si>
    <t>КарГРЭС-2</t>
  </si>
  <si>
    <t>АО "Жамбылская ГРЭС им.Т.И.Батурова"</t>
  </si>
  <si>
    <t>ЖГРЭС</t>
  </si>
  <si>
    <t>АО "Жайыктеплоэнерго"</t>
  </si>
  <si>
    <t>УрТЭЦ, ПГУ УрТЭЦ</t>
  </si>
  <si>
    <t>ЭГРЭС-1</t>
  </si>
  <si>
    <t>ТОО "Экибастузская ГРЭС-1 им.Б. Нуржанова"</t>
  </si>
  <si>
    <t>АО "Станция Экибастузская ГРЭС-2"</t>
  </si>
  <si>
    <t>ЭГРЭС-2</t>
  </si>
  <si>
    <t>ТЭЦ АО "ССГПО"</t>
  </si>
  <si>
    <t>ТЭЦ "ССГПО"</t>
  </si>
  <si>
    <t>АО "Риддер ТЭЦ"</t>
  </si>
  <si>
    <t>Результаты аттестации 2025 год</t>
  </si>
  <si>
    <t>ТОО "ОзенМунайПром"</t>
  </si>
  <si>
    <t>ГПЭС Жанаозен</t>
  </si>
  <si>
    <t>ЧК "Nova novatis"</t>
  </si>
  <si>
    <t>ТОО "Шахтинсктеплоэнерго"</t>
  </si>
  <si>
    <t>ШахтТЭЦ</t>
  </si>
  <si>
    <t>ГКП "Кентау сервис"</t>
  </si>
  <si>
    <t>ТЭЦ-5</t>
  </si>
  <si>
    <t>ПГУ, ТОО "Текелийский энергокомплекс"</t>
  </si>
  <si>
    <t>Текелийский энергокомплек</t>
  </si>
  <si>
    <t>Каскада ГЭС</t>
  </si>
  <si>
    <t>АО АЛЭС</t>
  </si>
  <si>
    <t xml:space="preserve">АО "ТНК Казхром" </t>
  </si>
  <si>
    <t>АЗФ</t>
  </si>
  <si>
    <t>количество ЭПО</t>
  </si>
  <si>
    <t>ГКП "Костанайская ТЭК"</t>
  </si>
  <si>
    <t>КТЭЦ, КТЭЦ-2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</si>
</sst>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1" fontId="2" fillId="0" borderId="0" xfId="0" applyNumberFormat="1" applyFont="1"/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center"/>
    </xf>
    <xf numFmtId="1" fontId="2" fillId="3" borderId="0" xfId="0" applyNumberFormat="1" applyFont="1" applyFill="1"/>
    <xf numFmtId="0" fontId="4" fillId="3" borderId="7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1" fontId="2" fillId="3" borderId="8" xfId="0" applyNumberFormat="1" applyFont="1" applyFill="1" applyBorder="1" applyAlignment="1">
      <alignment horizontal="right"/>
    </xf>
    <xf numFmtId="1" fontId="2" fillId="0" borderId="8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view="pageBreakPreview" zoomScale="60" zoomScaleNormal="70" workbookViewId="0">
      <pane ySplit="2" topLeftCell="A8" activePane="bottomLeft" state="frozen"/>
      <selection pane="bottomLeft" activeCell="D44" sqref="D44"/>
    </sheetView>
  </sheetViews>
  <sheetFormatPr defaultRowHeight="18" x14ac:dyDescent="0.35"/>
  <cols>
    <col min="1" max="1" width="10.44140625" customWidth="1"/>
    <col min="2" max="2" width="40" customWidth="1"/>
    <col min="3" max="3" width="34.6640625" customWidth="1"/>
    <col min="4" max="4" width="17.33203125" customWidth="1"/>
    <col min="5" max="9" width="18" customWidth="1"/>
    <col min="10" max="10" width="25" style="4" customWidth="1"/>
  </cols>
  <sheetData>
    <row r="1" spans="1:10" x14ac:dyDescent="0.35">
      <c r="A1" s="48" t="s">
        <v>88</v>
      </c>
      <c r="B1" s="49"/>
      <c r="C1" s="49"/>
      <c r="D1" s="49"/>
      <c r="E1" s="49"/>
      <c r="F1" s="49"/>
      <c r="G1" s="49"/>
      <c r="H1" s="49"/>
      <c r="I1" s="50"/>
    </row>
    <row r="2" spans="1:10" ht="87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4" t="s">
        <v>102</v>
      </c>
    </row>
    <row r="3" spans="1:10" x14ac:dyDescent="0.35">
      <c r="A3" s="7">
        <v>1</v>
      </c>
      <c r="B3" s="29" t="s">
        <v>25</v>
      </c>
      <c r="C3" s="8" t="s">
        <v>34</v>
      </c>
      <c r="D3" s="6">
        <v>99</v>
      </c>
      <c r="E3" s="27" t="s">
        <v>10</v>
      </c>
      <c r="F3" s="6">
        <v>9.9</v>
      </c>
      <c r="G3" s="6">
        <v>8.9</v>
      </c>
      <c r="H3" s="6">
        <v>1</v>
      </c>
      <c r="I3" s="6">
        <v>20</v>
      </c>
      <c r="J3" s="4">
        <v>1</v>
      </c>
    </row>
    <row r="4" spans="1:10" ht="36" x14ac:dyDescent="0.35">
      <c r="A4" s="15">
        <v>2</v>
      </c>
      <c r="B4" s="30" t="s">
        <v>33</v>
      </c>
      <c r="C4" s="16" t="s">
        <v>16</v>
      </c>
      <c r="D4" s="17">
        <v>51</v>
      </c>
      <c r="E4" s="17" t="s">
        <v>10</v>
      </c>
      <c r="F4" s="17">
        <v>1.6</v>
      </c>
      <c r="G4" s="17">
        <v>1.6</v>
      </c>
      <c r="H4" s="17">
        <v>1</v>
      </c>
      <c r="I4" s="17">
        <v>31</v>
      </c>
      <c r="J4" s="4">
        <v>1</v>
      </c>
    </row>
    <row r="5" spans="1:10" x14ac:dyDescent="0.35">
      <c r="A5" s="15">
        <v>3</v>
      </c>
      <c r="B5" s="30" t="s">
        <v>27</v>
      </c>
      <c r="C5" s="16" t="s">
        <v>28</v>
      </c>
      <c r="D5" s="17">
        <v>64</v>
      </c>
      <c r="E5" s="28" t="s">
        <v>10</v>
      </c>
      <c r="F5" s="17">
        <v>3.5</v>
      </c>
      <c r="G5" s="17">
        <v>4</v>
      </c>
      <c r="H5" s="17">
        <v>7</v>
      </c>
      <c r="I5" s="17">
        <v>58</v>
      </c>
      <c r="J5" s="4">
        <v>1</v>
      </c>
    </row>
    <row r="6" spans="1:10" ht="36" x14ac:dyDescent="0.35">
      <c r="A6" s="15">
        <v>4</v>
      </c>
      <c r="B6" s="30" t="s">
        <v>21</v>
      </c>
      <c r="C6" s="16" t="s">
        <v>41</v>
      </c>
      <c r="D6" s="17">
        <v>20</v>
      </c>
      <c r="E6" s="28" t="s">
        <v>10</v>
      </c>
      <c r="F6" s="17">
        <v>1.5</v>
      </c>
      <c r="G6" s="17">
        <v>1.8</v>
      </c>
      <c r="H6" s="17">
        <v>4</v>
      </c>
      <c r="I6" s="17">
        <v>15</v>
      </c>
      <c r="J6" s="4">
        <v>1</v>
      </c>
    </row>
    <row r="7" spans="1:10" ht="36" x14ac:dyDescent="0.35">
      <c r="A7" s="15">
        <v>5</v>
      </c>
      <c r="B7" s="30" t="s">
        <v>96</v>
      </c>
      <c r="C7" s="16" t="s">
        <v>97</v>
      </c>
      <c r="D7" s="17">
        <v>22</v>
      </c>
      <c r="E7" s="17">
        <v>21</v>
      </c>
      <c r="F7" s="17">
        <v>4.9000000000000004</v>
      </c>
      <c r="G7" s="17">
        <v>4</v>
      </c>
      <c r="H7" s="17">
        <v>1</v>
      </c>
      <c r="I7" s="17">
        <v>9</v>
      </c>
      <c r="J7" s="4">
        <v>1</v>
      </c>
    </row>
    <row r="8" spans="1:10" ht="36" x14ac:dyDescent="0.35">
      <c r="A8" s="15">
        <v>6</v>
      </c>
      <c r="B8" s="30" t="s">
        <v>35</v>
      </c>
      <c r="C8" s="16" t="s">
        <v>11</v>
      </c>
      <c r="D8" s="17">
        <v>298</v>
      </c>
      <c r="E8" s="17">
        <v>298</v>
      </c>
      <c r="F8" s="17">
        <v>18.3</v>
      </c>
      <c r="G8" s="17">
        <v>20</v>
      </c>
      <c r="H8" s="17">
        <v>2</v>
      </c>
      <c r="I8" s="17">
        <v>81</v>
      </c>
      <c r="J8" s="4">
        <v>1</v>
      </c>
    </row>
    <row r="9" spans="1:10" x14ac:dyDescent="0.35">
      <c r="A9" s="15">
        <v>7</v>
      </c>
      <c r="B9" s="13" t="s">
        <v>36</v>
      </c>
      <c r="C9" s="8" t="s">
        <v>15</v>
      </c>
      <c r="D9" s="6">
        <v>168</v>
      </c>
      <c r="E9" s="27" t="s">
        <v>10</v>
      </c>
      <c r="F9" s="6">
        <v>7.9</v>
      </c>
      <c r="G9" s="6">
        <v>8.6</v>
      </c>
      <c r="H9" s="6">
        <v>1</v>
      </c>
      <c r="I9" s="6">
        <v>11</v>
      </c>
      <c r="J9" s="4">
        <v>1</v>
      </c>
    </row>
    <row r="10" spans="1:10" ht="36" x14ac:dyDescent="0.35">
      <c r="A10" s="15">
        <v>8</v>
      </c>
      <c r="B10" s="30" t="s">
        <v>29</v>
      </c>
      <c r="C10" s="16" t="s">
        <v>42</v>
      </c>
      <c r="D10" s="17">
        <v>331</v>
      </c>
      <c r="E10" s="28" t="s">
        <v>10</v>
      </c>
      <c r="F10" s="17">
        <v>73.7</v>
      </c>
      <c r="G10" s="17">
        <v>222</v>
      </c>
      <c r="H10" s="17">
        <v>2</v>
      </c>
      <c r="I10" s="17">
        <v>110</v>
      </c>
      <c r="J10" s="4">
        <v>1</v>
      </c>
    </row>
    <row r="11" spans="1:10" x14ac:dyDescent="0.35">
      <c r="A11" s="15">
        <v>9</v>
      </c>
      <c r="B11" s="30" t="s">
        <v>30</v>
      </c>
      <c r="C11" s="16" t="s">
        <v>31</v>
      </c>
      <c r="D11" s="17">
        <v>703</v>
      </c>
      <c r="E11" s="17" t="s">
        <v>10</v>
      </c>
      <c r="F11" s="17">
        <v>288</v>
      </c>
      <c r="G11" s="17">
        <v>288</v>
      </c>
      <c r="H11" s="17">
        <v>3</v>
      </c>
      <c r="I11" s="17">
        <v>70</v>
      </c>
      <c r="J11" s="4">
        <v>1</v>
      </c>
    </row>
    <row r="12" spans="1:10" x14ac:dyDescent="0.35">
      <c r="A12" s="15">
        <v>10</v>
      </c>
      <c r="B12" s="30" t="s">
        <v>37</v>
      </c>
      <c r="C12" s="16" t="s">
        <v>22</v>
      </c>
      <c r="D12" s="17">
        <v>319</v>
      </c>
      <c r="E12" s="17" t="s">
        <v>10</v>
      </c>
      <c r="F12" s="17">
        <v>3</v>
      </c>
      <c r="G12" s="17">
        <v>4</v>
      </c>
      <c r="H12" s="17">
        <v>50</v>
      </c>
      <c r="I12" s="17">
        <v>364</v>
      </c>
      <c r="J12" s="4">
        <v>1</v>
      </c>
    </row>
    <row r="13" spans="1:10" x14ac:dyDescent="0.35">
      <c r="A13" s="15">
        <v>11</v>
      </c>
      <c r="B13" s="30" t="s">
        <v>12</v>
      </c>
      <c r="C13" s="16" t="s">
        <v>43</v>
      </c>
      <c r="D13" s="17">
        <v>306</v>
      </c>
      <c r="E13" s="28" t="s">
        <v>10</v>
      </c>
      <c r="F13" s="17">
        <v>3.1</v>
      </c>
      <c r="G13" s="17">
        <v>2.9</v>
      </c>
      <c r="H13" s="17">
        <v>57</v>
      </c>
      <c r="I13" s="17">
        <v>300</v>
      </c>
      <c r="J13" s="4">
        <v>1</v>
      </c>
    </row>
    <row r="14" spans="1:10" x14ac:dyDescent="0.35">
      <c r="A14" s="15">
        <v>12</v>
      </c>
      <c r="B14" s="29" t="s">
        <v>38</v>
      </c>
      <c r="C14" s="8" t="s">
        <v>26</v>
      </c>
      <c r="D14" s="6">
        <v>101</v>
      </c>
      <c r="E14" s="27" t="s">
        <v>10</v>
      </c>
      <c r="F14" s="6">
        <v>10</v>
      </c>
      <c r="G14" s="6">
        <v>7.6</v>
      </c>
      <c r="H14" s="6">
        <v>1</v>
      </c>
      <c r="I14" s="6">
        <v>59</v>
      </c>
      <c r="J14" s="4">
        <v>1</v>
      </c>
    </row>
    <row r="15" spans="1:10" x14ac:dyDescent="0.35">
      <c r="A15" s="7">
        <v>13</v>
      </c>
      <c r="B15" s="29" t="s">
        <v>39</v>
      </c>
      <c r="C15" s="8" t="s">
        <v>9</v>
      </c>
      <c r="D15" s="6">
        <v>171</v>
      </c>
      <c r="E15" s="6">
        <v>54</v>
      </c>
      <c r="F15" s="6">
        <v>3.1</v>
      </c>
      <c r="G15" s="6">
        <v>3</v>
      </c>
      <c r="H15" s="6">
        <v>21</v>
      </c>
      <c r="I15" s="6">
        <v>147</v>
      </c>
      <c r="J15" s="4">
        <v>1</v>
      </c>
    </row>
    <row r="16" spans="1:10" ht="23.25" customHeight="1" x14ac:dyDescent="0.35">
      <c r="A16" s="15">
        <v>14</v>
      </c>
      <c r="B16" s="23" t="s">
        <v>32</v>
      </c>
      <c r="C16" s="16" t="s">
        <v>44</v>
      </c>
      <c r="D16" s="6">
        <v>56</v>
      </c>
      <c r="E16" s="6" t="s">
        <v>10</v>
      </c>
      <c r="F16" s="6">
        <v>2.5</v>
      </c>
      <c r="G16" s="6">
        <v>4.4000000000000004</v>
      </c>
      <c r="H16" s="6">
        <v>12.5</v>
      </c>
      <c r="I16" s="6">
        <v>55</v>
      </c>
      <c r="J16" s="4">
        <v>1</v>
      </c>
    </row>
    <row r="17" spans="1:10" x14ac:dyDescent="0.35">
      <c r="A17" s="40">
        <v>15</v>
      </c>
      <c r="B17" s="43" t="s">
        <v>99</v>
      </c>
      <c r="C17" s="16" t="s">
        <v>17</v>
      </c>
      <c r="D17" s="6">
        <v>91</v>
      </c>
      <c r="E17" s="27" t="s">
        <v>10</v>
      </c>
      <c r="F17" s="6">
        <v>2.5</v>
      </c>
      <c r="G17" s="6">
        <v>2.5</v>
      </c>
      <c r="H17" s="6">
        <v>28</v>
      </c>
      <c r="I17" s="6">
        <v>107</v>
      </c>
      <c r="J17" s="35">
        <v>1</v>
      </c>
    </row>
    <row r="18" spans="1:10" x14ac:dyDescent="0.35">
      <c r="A18" s="41"/>
      <c r="B18" s="44"/>
      <c r="C18" s="16" t="s">
        <v>18</v>
      </c>
      <c r="D18" s="6">
        <v>357</v>
      </c>
      <c r="E18" s="6" t="s">
        <v>10</v>
      </c>
      <c r="F18" s="6">
        <v>2.5</v>
      </c>
      <c r="G18" s="6">
        <v>2.5</v>
      </c>
      <c r="H18" s="6">
        <v>61</v>
      </c>
      <c r="I18" s="6">
        <v>395</v>
      </c>
      <c r="J18" s="35"/>
    </row>
    <row r="19" spans="1:10" x14ac:dyDescent="0.35">
      <c r="A19" s="41"/>
      <c r="B19" s="44"/>
      <c r="C19" s="16" t="s">
        <v>19</v>
      </c>
      <c r="D19" s="6">
        <v>107</v>
      </c>
      <c r="E19" s="27" t="s">
        <v>10</v>
      </c>
      <c r="F19" s="6">
        <v>3.3</v>
      </c>
      <c r="G19" s="6">
        <v>2</v>
      </c>
      <c r="H19" s="6">
        <v>21</v>
      </c>
      <c r="I19" s="6">
        <v>106</v>
      </c>
      <c r="J19" s="35"/>
    </row>
    <row r="20" spans="1:10" x14ac:dyDescent="0.35">
      <c r="A20" s="41"/>
      <c r="B20" s="44"/>
      <c r="C20" s="16" t="s">
        <v>20</v>
      </c>
      <c r="D20" s="6">
        <v>365</v>
      </c>
      <c r="E20" s="27" t="s">
        <v>10</v>
      </c>
      <c r="F20" s="6">
        <v>15</v>
      </c>
      <c r="G20" s="6">
        <v>15</v>
      </c>
      <c r="H20" s="6">
        <v>1</v>
      </c>
      <c r="I20" s="6">
        <v>180</v>
      </c>
      <c r="J20" s="35"/>
    </row>
    <row r="21" spans="1:10" ht="18" customHeight="1" x14ac:dyDescent="0.3">
      <c r="A21" s="41"/>
      <c r="B21" s="44"/>
      <c r="C21" s="46" t="s">
        <v>98</v>
      </c>
      <c r="D21" s="36">
        <v>30</v>
      </c>
      <c r="E21" s="38" t="s">
        <v>10</v>
      </c>
      <c r="F21" s="36">
        <v>2.5</v>
      </c>
      <c r="G21" s="36">
        <v>2.5</v>
      </c>
      <c r="H21" s="36">
        <v>1</v>
      </c>
      <c r="I21" s="36">
        <v>24</v>
      </c>
      <c r="J21" s="35"/>
    </row>
    <row r="22" spans="1:10" ht="2.4" customHeight="1" x14ac:dyDescent="0.3">
      <c r="A22" s="42"/>
      <c r="B22" s="45"/>
      <c r="C22" s="47"/>
      <c r="D22" s="37"/>
      <c r="E22" s="39"/>
      <c r="F22" s="37"/>
      <c r="G22" s="37"/>
      <c r="H22" s="37"/>
      <c r="I22" s="37"/>
      <c r="J22" s="35"/>
    </row>
    <row r="23" spans="1:10" x14ac:dyDescent="0.35">
      <c r="A23" s="56">
        <v>16</v>
      </c>
      <c r="B23" s="51" t="s">
        <v>13</v>
      </c>
      <c r="C23" s="8" t="s">
        <v>40</v>
      </c>
      <c r="D23" s="6">
        <v>67</v>
      </c>
      <c r="E23" s="27" t="s">
        <v>10</v>
      </c>
      <c r="F23" s="6">
        <v>3</v>
      </c>
      <c r="G23" s="6">
        <v>4</v>
      </c>
      <c r="H23" s="6">
        <v>18</v>
      </c>
      <c r="I23" s="6">
        <v>79</v>
      </c>
      <c r="J23" s="35">
        <v>1</v>
      </c>
    </row>
    <row r="24" spans="1:10" x14ac:dyDescent="0.35">
      <c r="A24" s="57"/>
      <c r="B24" s="52"/>
      <c r="C24" s="8" t="s">
        <v>14</v>
      </c>
      <c r="D24" s="6">
        <v>293</v>
      </c>
      <c r="E24" s="27" t="s">
        <v>10</v>
      </c>
      <c r="F24" s="6">
        <v>2</v>
      </c>
      <c r="G24" s="6">
        <v>4</v>
      </c>
      <c r="H24" s="6">
        <v>54</v>
      </c>
      <c r="I24" s="6">
        <v>334</v>
      </c>
      <c r="J24" s="35"/>
    </row>
    <row r="25" spans="1:10" x14ac:dyDescent="0.35">
      <c r="A25" s="58">
        <v>17</v>
      </c>
      <c r="B25" s="43" t="s">
        <v>45</v>
      </c>
      <c r="C25" s="16" t="s">
        <v>24</v>
      </c>
      <c r="D25" s="17">
        <v>18</v>
      </c>
      <c r="E25" s="28" t="s">
        <v>10</v>
      </c>
      <c r="F25" s="17">
        <v>3</v>
      </c>
      <c r="G25" s="17">
        <v>1.5</v>
      </c>
      <c r="H25" s="17">
        <v>6</v>
      </c>
      <c r="I25" s="17">
        <v>20</v>
      </c>
      <c r="J25" s="35">
        <v>1</v>
      </c>
    </row>
    <row r="26" spans="1:10" x14ac:dyDescent="0.35">
      <c r="A26" s="59"/>
      <c r="B26" s="45"/>
      <c r="C26" s="16" t="s">
        <v>23</v>
      </c>
      <c r="D26" s="17">
        <v>489</v>
      </c>
      <c r="E26" s="17" t="s">
        <v>10</v>
      </c>
      <c r="F26" s="17">
        <v>3.5</v>
      </c>
      <c r="G26" s="17">
        <v>3.7</v>
      </c>
      <c r="H26" s="17">
        <v>76</v>
      </c>
      <c r="I26" s="17">
        <v>534</v>
      </c>
      <c r="J26" s="35"/>
    </row>
    <row r="27" spans="1:10" x14ac:dyDescent="0.35">
      <c r="A27" s="7">
        <v>18</v>
      </c>
      <c r="B27" s="29" t="s">
        <v>46</v>
      </c>
      <c r="C27" s="8" t="s">
        <v>47</v>
      </c>
      <c r="D27" s="6">
        <v>270</v>
      </c>
      <c r="E27" s="27" t="s">
        <v>10</v>
      </c>
      <c r="F27" s="6">
        <v>10.1</v>
      </c>
      <c r="G27" s="6">
        <v>10.199999999999999</v>
      </c>
      <c r="H27" s="6">
        <v>21</v>
      </c>
      <c r="I27" s="6">
        <v>119</v>
      </c>
      <c r="J27" s="4">
        <v>1</v>
      </c>
    </row>
    <row r="28" spans="1:10" x14ac:dyDescent="0.35">
      <c r="A28" s="15">
        <v>19</v>
      </c>
      <c r="B28" s="30" t="s">
        <v>49</v>
      </c>
      <c r="C28" s="16" t="s">
        <v>50</v>
      </c>
      <c r="D28" s="17">
        <v>671</v>
      </c>
      <c r="E28" s="28" t="s">
        <v>10</v>
      </c>
      <c r="F28" s="17">
        <v>91.7</v>
      </c>
      <c r="G28" s="17">
        <v>100</v>
      </c>
      <c r="H28" s="17">
        <v>4</v>
      </c>
      <c r="I28" s="17">
        <v>0</v>
      </c>
      <c r="J28" s="25">
        <v>1</v>
      </c>
    </row>
    <row r="29" spans="1:10" x14ac:dyDescent="0.35">
      <c r="A29" s="15">
        <v>20</v>
      </c>
      <c r="B29" s="23" t="s">
        <v>51</v>
      </c>
      <c r="C29" s="16" t="s">
        <v>52</v>
      </c>
      <c r="D29" s="17">
        <v>422</v>
      </c>
      <c r="E29" s="17">
        <v>122</v>
      </c>
      <c r="F29" s="17">
        <v>1.8</v>
      </c>
      <c r="G29" s="17">
        <v>2.1</v>
      </c>
      <c r="H29" s="17">
        <v>32</v>
      </c>
      <c r="I29" s="17">
        <v>262</v>
      </c>
      <c r="J29" s="4">
        <v>1</v>
      </c>
    </row>
    <row r="30" spans="1:10" x14ac:dyDescent="0.35">
      <c r="A30" s="7">
        <v>21</v>
      </c>
      <c r="B30" s="29" t="s">
        <v>91</v>
      </c>
      <c r="C30" s="8" t="s">
        <v>53</v>
      </c>
      <c r="D30" s="6">
        <v>80</v>
      </c>
      <c r="E30" s="27" t="s">
        <v>10</v>
      </c>
      <c r="F30" s="6">
        <v>3.3</v>
      </c>
      <c r="G30" s="6">
        <v>5</v>
      </c>
      <c r="H30" s="6">
        <v>11</v>
      </c>
      <c r="I30" s="6">
        <v>72</v>
      </c>
      <c r="J30" s="4">
        <v>1</v>
      </c>
    </row>
    <row r="31" spans="1:10" x14ac:dyDescent="0.35">
      <c r="A31" s="15">
        <v>22</v>
      </c>
      <c r="B31" s="18" t="s">
        <v>57</v>
      </c>
      <c r="C31" s="16" t="s">
        <v>54</v>
      </c>
      <c r="D31" s="19">
        <v>131</v>
      </c>
      <c r="E31" s="28" t="s">
        <v>10</v>
      </c>
      <c r="F31" s="19">
        <v>2.5</v>
      </c>
      <c r="G31" s="19">
        <v>4.3</v>
      </c>
      <c r="H31" s="19">
        <v>15</v>
      </c>
      <c r="I31" s="19">
        <v>130</v>
      </c>
      <c r="J31" s="4">
        <v>1</v>
      </c>
    </row>
    <row r="32" spans="1:10" x14ac:dyDescent="0.35">
      <c r="A32" s="15">
        <v>23</v>
      </c>
      <c r="B32" s="18" t="s">
        <v>55</v>
      </c>
      <c r="C32" s="16" t="s">
        <v>56</v>
      </c>
      <c r="D32" s="19">
        <v>29</v>
      </c>
      <c r="E32" s="28" t="s">
        <v>10</v>
      </c>
      <c r="F32" s="19">
        <v>6.6</v>
      </c>
      <c r="G32" s="19">
        <v>6.7</v>
      </c>
      <c r="H32" s="19">
        <v>6</v>
      </c>
      <c r="I32" s="19">
        <v>28</v>
      </c>
      <c r="J32" s="4">
        <v>1</v>
      </c>
    </row>
    <row r="33" spans="1:10" ht="36" x14ac:dyDescent="0.35">
      <c r="A33" s="7">
        <v>24</v>
      </c>
      <c r="B33" s="9" t="s">
        <v>58</v>
      </c>
      <c r="C33" s="8" t="s">
        <v>59</v>
      </c>
      <c r="D33" s="10">
        <v>2065</v>
      </c>
      <c r="E33" s="27" t="s">
        <v>10</v>
      </c>
      <c r="F33" s="10">
        <v>16.100000000000001</v>
      </c>
      <c r="G33" s="10">
        <v>40.799999999999997</v>
      </c>
      <c r="H33" s="10">
        <v>101</v>
      </c>
      <c r="I33" s="10">
        <v>1795</v>
      </c>
      <c r="J33" s="4">
        <v>1</v>
      </c>
    </row>
    <row r="34" spans="1:10" x14ac:dyDescent="0.35">
      <c r="A34" s="15">
        <v>25</v>
      </c>
      <c r="B34" s="9" t="s">
        <v>61</v>
      </c>
      <c r="C34" s="8" t="s">
        <v>60</v>
      </c>
      <c r="D34" s="10">
        <v>280</v>
      </c>
      <c r="E34" s="27" t="s">
        <v>10</v>
      </c>
      <c r="F34" s="10">
        <v>4.7</v>
      </c>
      <c r="G34" s="10">
        <v>3.8</v>
      </c>
      <c r="H34" s="10">
        <v>58</v>
      </c>
      <c r="I34" s="10">
        <v>284</v>
      </c>
      <c r="J34" s="4">
        <v>1</v>
      </c>
    </row>
    <row r="35" spans="1:10" x14ac:dyDescent="0.35">
      <c r="A35" s="58">
        <v>26</v>
      </c>
      <c r="B35" s="43" t="s">
        <v>62</v>
      </c>
      <c r="C35" s="16" t="s">
        <v>63</v>
      </c>
      <c r="D35" s="19">
        <v>48</v>
      </c>
      <c r="E35" s="19" t="s">
        <v>10</v>
      </c>
      <c r="F35" s="19">
        <v>3.6</v>
      </c>
      <c r="G35" s="19">
        <v>3.2</v>
      </c>
      <c r="H35" s="19">
        <v>12</v>
      </c>
      <c r="I35" s="19">
        <v>35</v>
      </c>
      <c r="J35" s="35">
        <v>1</v>
      </c>
    </row>
    <row r="36" spans="1:10" x14ac:dyDescent="0.35">
      <c r="A36" s="60"/>
      <c r="B36" s="44"/>
      <c r="C36" s="16" t="s">
        <v>64</v>
      </c>
      <c r="D36" s="19">
        <v>306</v>
      </c>
      <c r="E36" s="28" t="s">
        <v>10</v>
      </c>
      <c r="F36" s="19">
        <v>3.6</v>
      </c>
      <c r="G36" s="19">
        <v>4.9000000000000004</v>
      </c>
      <c r="H36" s="19">
        <v>32</v>
      </c>
      <c r="I36" s="19">
        <v>203</v>
      </c>
      <c r="J36" s="35"/>
    </row>
    <row r="37" spans="1:10" x14ac:dyDescent="0.35">
      <c r="A37" s="59"/>
      <c r="B37" s="45"/>
      <c r="C37" s="16" t="s">
        <v>65</v>
      </c>
      <c r="D37" s="19">
        <v>405</v>
      </c>
      <c r="E37" s="28" t="s">
        <v>10</v>
      </c>
      <c r="F37" s="19">
        <v>4.4000000000000004</v>
      </c>
      <c r="G37" s="19">
        <v>4.5</v>
      </c>
      <c r="H37" s="19">
        <v>30</v>
      </c>
      <c r="I37" s="19">
        <v>263</v>
      </c>
      <c r="J37" s="35"/>
    </row>
    <row r="38" spans="1:10" x14ac:dyDescent="0.35">
      <c r="A38" s="22">
        <v>27</v>
      </c>
      <c r="B38" s="18" t="s">
        <v>68</v>
      </c>
      <c r="C38" s="16" t="s">
        <v>69</v>
      </c>
      <c r="D38" s="19">
        <v>169</v>
      </c>
      <c r="E38" s="28" t="s">
        <v>10</v>
      </c>
      <c r="F38" s="19">
        <v>4.5999999999999996</v>
      </c>
      <c r="G38" s="19">
        <v>4.5999999999999996</v>
      </c>
      <c r="H38" s="19">
        <v>15</v>
      </c>
      <c r="I38" s="19">
        <v>93</v>
      </c>
      <c r="J38" s="4">
        <v>1</v>
      </c>
    </row>
    <row r="39" spans="1:10" x14ac:dyDescent="0.35">
      <c r="A39" s="22">
        <v>28</v>
      </c>
      <c r="B39" s="18" t="s">
        <v>70</v>
      </c>
      <c r="C39" s="16" t="s">
        <v>71</v>
      </c>
      <c r="D39" s="19">
        <v>462</v>
      </c>
      <c r="E39" s="28" t="s">
        <v>10</v>
      </c>
      <c r="F39" s="19">
        <v>5</v>
      </c>
      <c r="G39" s="19">
        <v>6.2</v>
      </c>
      <c r="H39" s="19">
        <v>104</v>
      </c>
      <c r="I39" s="19">
        <v>537</v>
      </c>
      <c r="J39" s="4">
        <v>1</v>
      </c>
    </row>
    <row r="40" spans="1:10" x14ac:dyDescent="0.35">
      <c r="A40" s="22">
        <v>29</v>
      </c>
      <c r="B40" s="9" t="s">
        <v>66</v>
      </c>
      <c r="C40" s="8" t="s">
        <v>67</v>
      </c>
      <c r="D40" s="10">
        <v>61</v>
      </c>
      <c r="E40" s="10">
        <v>61</v>
      </c>
      <c r="F40" s="10">
        <v>8</v>
      </c>
      <c r="G40" s="10">
        <v>8.1999999999999993</v>
      </c>
      <c r="H40" s="10">
        <v>3</v>
      </c>
      <c r="I40" s="10">
        <v>56</v>
      </c>
      <c r="J40" s="4">
        <v>1</v>
      </c>
    </row>
    <row r="41" spans="1:10" x14ac:dyDescent="0.35">
      <c r="A41" s="40">
        <v>30</v>
      </c>
      <c r="B41" s="43" t="s">
        <v>72</v>
      </c>
      <c r="C41" s="16" t="s">
        <v>73</v>
      </c>
      <c r="D41" s="19">
        <v>151</v>
      </c>
      <c r="E41" s="17">
        <v>47</v>
      </c>
      <c r="F41" s="19">
        <v>4</v>
      </c>
      <c r="G41" s="19">
        <v>3.5</v>
      </c>
      <c r="H41" s="19">
        <v>32</v>
      </c>
      <c r="I41" s="19">
        <v>157</v>
      </c>
      <c r="J41" s="34">
        <v>1</v>
      </c>
    </row>
    <row r="42" spans="1:10" x14ac:dyDescent="0.35">
      <c r="A42" s="41"/>
      <c r="B42" s="44"/>
      <c r="C42" s="16" t="s">
        <v>74</v>
      </c>
      <c r="D42" s="19">
        <v>133</v>
      </c>
      <c r="E42" s="17" t="s">
        <v>10</v>
      </c>
      <c r="F42" s="19">
        <v>7</v>
      </c>
      <c r="G42" s="19">
        <v>5.5</v>
      </c>
      <c r="H42" s="19">
        <v>21</v>
      </c>
      <c r="I42" s="19">
        <v>129</v>
      </c>
      <c r="J42" s="34"/>
    </row>
    <row r="43" spans="1:10" x14ac:dyDescent="0.35">
      <c r="A43" s="15">
        <v>31</v>
      </c>
      <c r="B43" s="31" t="s">
        <v>75</v>
      </c>
      <c r="C43" s="16" t="s">
        <v>76</v>
      </c>
      <c r="D43" s="19">
        <v>641</v>
      </c>
      <c r="E43" s="17">
        <v>117</v>
      </c>
      <c r="F43" s="19">
        <v>7.4</v>
      </c>
      <c r="G43" s="19">
        <v>7.4</v>
      </c>
      <c r="H43" s="19">
        <v>72</v>
      </c>
      <c r="I43" s="19">
        <v>615</v>
      </c>
      <c r="J43" s="25">
        <v>1</v>
      </c>
    </row>
    <row r="44" spans="1:10" ht="36" x14ac:dyDescent="0.35">
      <c r="A44" s="15">
        <v>32</v>
      </c>
      <c r="B44" s="18" t="s">
        <v>77</v>
      </c>
      <c r="C44" s="16" t="s">
        <v>78</v>
      </c>
      <c r="D44" s="19">
        <v>827</v>
      </c>
      <c r="E44" s="28" t="s">
        <v>10</v>
      </c>
      <c r="F44" s="19">
        <v>20.399999999999999</v>
      </c>
      <c r="G44" s="19">
        <v>20.7</v>
      </c>
      <c r="H44" s="19">
        <v>40</v>
      </c>
      <c r="I44" s="19">
        <v>540</v>
      </c>
      <c r="J44" s="25">
        <v>1</v>
      </c>
    </row>
    <row r="45" spans="1:10" x14ac:dyDescent="0.35">
      <c r="A45" s="15">
        <v>33</v>
      </c>
      <c r="B45" s="18" t="s">
        <v>79</v>
      </c>
      <c r="C45" s="16" t="s">
        <v>80</v>
      </c>
      <c r="D45" s="19">
        <v>8</v>
      </c>
      <c r="E45" s="28" t="s">
        <v>10</v>
      </c>
      <c r="F45" s="19">
        <v>1.9</v>
      </c>
      <c r="G45" s="19">
        <v>1.9</v>
      </c>
      <c r="H45" s="19">
        <v>9</v>
      </c>
      <c r="I45" s="19">
        <v>11</v>
      </c>
      <c r="J45" s="4">
        <v>1</v>
      </c>
    </row>
    <row r="46" spans="1:10" ht="36" x14ac:dyDescent="0.35">
      <c r="A46" s="15">
        <v>34</v>
      </c>
      <c r="B46" s="18" t="s">
        <v>82</v>
      </c>
      <c r="C46" s="16" t="s">
        <v>81</v>
      </c>
      <c r="D46" s="19">
        <v>3505</v>
      </c>
      <c r="E46" s="17">
        <v>488</v>
      </c>
      <c r="F46" s="19">
        <v>39.799999999999997</v>
      </c>
      <c r="G46" s="19">
        <v>42.8</v>
      </c>
      <c r="H46" s="19">
        <v>158</v>
      </c>
      <c r="I46" s="19">
        <v>3299</v>
      </c>
      <c r="J46" s="4">
        <v>1</v>
      </c>
    </row>
    <row r="47" spans="1:10" ht="36" x14ac:dyDescent="0.35">
      <c r="A47" s="7">
        <v>35</v>
      </c>
      <c r="B47" s="9" t="s">
        <v>83</v>
      </c>
      <c r="C47" s="8" t="s">
        <v>84</v>
      </c>
      <c r="D47" s="10">
        <v>884</v>
      </c>
      <c r="E47" s="27" t="s">
        <v>10</v>
      </c>
      <c r="F47" s="10">
        <v>5.6</v>
      </c>
      <c r="G47" s="10">
        <v>5.6</v>
      </c>
      <c r="H47" s="10">
        <v>52</v>
      </c>
      <c r="I47" s="10">
        <v>675</v>
      </c>
      <c r="J47" s="4">
        <v>1</v>
      </c>
    </row>
    <row r="48" spans="1:10" s="3" customFormat="1" x14ac:dyDescent="0.35">
      <c r="A48" s="7">
        <v>36</v>
      </c>
      <c r="B48" s="32" t="s">
        <v>85</v>
      </c>
      <c r="C48" s="14" t="s">
        <v>86</v>
      </c>
      <c r="D48" s="12">
        <v>111.7</v>
      </c>
      <c r="E48" s="6" t="s">
        <v>10</v>
      </c>
      <c r="F48" s="6">
        <v>2.1</v>
      </c>
      <c r="G48" s="6">
        <v>2.1</v>
      </c>
      <c r="H48" s="6">
        <v>28</v>
      </c>
      <c r="I48" s="6">
        <v>106.9</v>
      </c>
      <c r="J48" s="4">
        <v>1</v>
      </c>
    </row>
    <row r="49" spans="1:10" s="3" customFormat="1" x14ac:dyDescent="0.35">
      <c r="A49" s="15">
        <v>37</v>
      </c>
      <c r="B49" s="33" t="s">
        <v>89</v>
      </c>
      <c r="C49" s="20" t="s">
        <v>90</v>
      </c>
      <c r="D49" s="21">
        <v>11</v>
      </c>
      <c r="E49" s="19" t="s">
        <v>10</v>
      </c>
      <c r="F49" s="19">
        <v>4.5</v>
      </c>
      <c r="G49" s="19">
        <v>5.5</v>
      </c>
      <c r="H49" s="19">
        <v>0.5</v>
      </c>
      <c r="I49" s="19">
        <v>6</v>
      </c>
      <c r="J49" s="4">
        <v>1</v>
      </c>
    </row>
    <row r="50" spans="1:10" s="3" customFormat="1" x14ac:dyDescent="0.35">
      <c r="A50" s="15">
        <v>38</v>
      </c>
      <c r="B50" s="33" t="s">
        <v>87</v>
      </c>
      <c r="C50" s="20" t="s">
        <v>87</v>
      </c>
      <c r="D50" s="21">
        <v>16</v>
      </c>
      <c r="E50" s="19" t="s">
        <v>10</v>
      </c>
      <c r="F50" s="19">
        <v>3</v>
      </c>
      <c r="G50" s="19">
        <v>2.4</v>
      </c>
      <c r="H50" s="19">
        <v>8</v>
      </c>
      <c r="I50" s="19">
        <v>12</v>
      </c>
      <c r="J50" s="4">
        <v>1</v>
      </c>
    </row>
    <row r="51" spans="1:10" s="3" customFormat="1" x14ac:dyDescent="0.35">
      <c r="A51" s="15">
        <v>39</v>
      </c>
      <c r="B51" s="33" t="s">
        <v>92</v>
      </c>
      <c r="C51" s="20" t="s">
        <v>93</v>
      </c>
      <c r="D51" s="21">
        <v>6</v>
      </c>
      <c r="E51" s="19"/>
      <c r="F51" s="19">
        <v>2.5</v>
      </c>
      <c r="G51" s="19">
        <v>1.7</v>
      </c>
      <c r="H51" s="19">
        <v>5</v>
      </c>
      <c r="I51" s="19">
        <v>5</v>
      </c>
      <c r="J51" s="4">
        <v>1</v>
      </c>
    </row>
    <row r="52" spans="1:10" s="3" customFormat="1" x14ac:dyDescent="0.35">
      <c r="A52" s="24">
        <v>40</v>
      </c>
      <c r="B52" s="33" t="s">
        <v>94</v>
      </c>
      <c r="C52" s="20" t="s">
        <v>95</v>
      </c>
      <c r="D52" s="11">
        <v>4</v>
      </c>
      <c r="E52" s="10" t="s">
        <v>10</v>
      </c>
      <c r="F52" s="10">
        <v>2</v>
      </c>
      <c r="G52" s="10">
        <v>1.9</v>
      </c>
      <c r="H52" s="10">
        <v>5.5</v>
      </c>
      <c r="I52" s="10">
        <v>6</v>
      </c>
      <c r="J52" s="4">
        <v>1</v>
      </c>
    </row>
    <row r="53" spans="1:10" s="3" customFormat="1" x14ac:dyDescent="0.35">
      <c r="A53" s="15">
        <v>41</v>
      </c>
      <c r="B53" s="33" t="s">
        <v>100</v>
      </c>
      <c r="C53" s="26" t="s">
        <v>101</v>
      </c>
      <c r="D53" s="12">
        <v>118</v>
      </c>
      <c r="E53" s="6" t="s">
        <v>10</v>
      </c>
      <c r="F53" s="6">
        <v>9.1999999999999993</v>
      </c>
      <c r="G53" s="6">
        <v>10.9</v>
      </c>
      <c r="H53" s="6">
        <v>6</v>
      </c>
      <c r="I53" s="6">
        <v>102</v>
      </c>
      <c r="J53" s="4">
        <v>1</v>
      </c>
    </row>
    <row r="54" spans="1:10" s="3" customFormat="1" x14ac:dyDescent="0.35">
      <c r="A54" s="15">
        <v>42</v>
      </c>
      <c r="B54" s="33" t="s">
        <v>103</v>
      </c>
      <c r="C54" s="20" t="s">
        <v>104</v>
      </c>
      <c r="D54" s="11">
        <v>2.6</v>
      </c>
      <c r="E54" s="10"/>
      <c r="F54" s="10">
        <v>1.5</v>
      </c>
      <c r="G54" s="10">
        <v>1.5</v>
      </c>
      <c r="H54" s="10">
        <v>2.4</v>
      </c>
      <c r="I54" s="10">
        <v>1.1000000000000001</v>
      </c>
      <c r="J54" s="4">
        <v>1</v>
      </c>
    </row>
    <row r="55" spans="1:10" x14ac:dyDescent="0.35">
      <c r="A55" s="53" t="s">
        <v>48</v>
      </c>
      <c r="B55" s="54"/>
      <c r="C55" s="55"/>
      <c r="D55" s="5">
        <f t="shared" ref="D55:I55" si="0">SUM(D3:D54)</f>
        <v>16343.300000000001</v>
      </c>
      <c r="E55" s="5">
        <f t="shared" si="0"/>
        <v>1208</v>
      </c>
      <c r="F55" s="5">
        <f t="shared" si="0"/>
        <v>745.20000000000016</v>
      </c>
      <c r="G55" s="5">
        <f t="shared" si="0"/>
        <v>936.40000000000009</v>
      </c>
      <c r="H55" s="5">
        <f t="shared" si="0"/>
        <v>1312.9</v>
      </c>
      <c r="I55" s="5">
        <f t="shared" si="0"/>
        <v>12651</v>
      </c>
      <c r="J55" s="4">
        <f>SUM(J1:J54)</f>
        <v>42</v>
      </c>
    </row>
  </sheetData>
  <autoFilter ref="A2:I55" xr:uid="{00000000-0009-0000-0000-000000000000}"/>
  <mergeCells count="24">
    <mergeCell ref="A55:C55"/>
    <mergeCell ref="A23:A24"/>
    <mergeCell ref="A25:A26"/>
    <mergeCell ref="B35:B37"/>
    <mergeCell ref="A35:A37"/>
    <mergeCell ref="A41:A42"/>
    <mergeCell ref="B41:B42"/>
    <mergeCell ref="B25:B26"/>
    <mergeCell ref="A17:A22"/>
    <mergeCell ref="B17:B22"/>
    <mergeCell ref="C21:C22"/>
    <mergeCell ref="A1:I1"/>
    <mergeCell ref="B23:B24"/>
    <mergeCell ref="J41:J42"/>
    <mergeCell ref="J35:J37"/>
    <mergeCell ref="D21:D22"/>
    <mergeCell ref="E21:E22"/>
    <mergeCell ref="F21:F22"/>
    <mergeCell ref="G21:G22"/>
    <mergeCell ref="H21:H22"/>
    <mergeCell ref="I21:I22"/>
    <mergeCell ref="J17:J22"/>
    <mergeCell ref="J23:J24"/>
    <mergeCell ref="J25:J26"/>
  </mergeCells>
  <pageMargins left="0.70866141732283472" right="0.70866141732283472" top="0.74803149606299213" bottom="0.74803149606299213" header="0.31496062992125984" footer="0.31496062992125984"/>
  <pageSetup paperSize="9" scale="4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Жумабаева Асем</dc:creator>
  <cp:lastModifiedBy>Казыбеков Олжас Касымбекович</cp:lastModifiedBy>
  <cp:lastPrinted>2025-11-11T08:55:06Z</cp:lastPrinted>
  <dcterms:created xsi:type="dcterms:W3CDTF">2020-02-14T03:06:09Z</dcterms:created>
  <dcterms:modified xsi:type="dcterms:W3CDTF">2025-11-11T08:55:09Z</dcterms:modified>
</cp:coreProperties>
</file>